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\Research\Data&amp;Analysis\Tensile\"/>
    </mc:Choice>
  </mc:AlternateContent>
  <xr:revisionPtr revIDLastSave="0" documentId="13_ncr:1_{8C7E227B-5045-4276-ADA3-C57D4FDF1712}" xr6:coauthVersionLast="47" xr6:coauthVersionMax="47" xr10:uidLastSave="{00000000-0000-0000-0000-000000000000}"/>
  <bookViews>
    <workbookView xWindow="-28920" yWindow="0" windowWidth="29040" windowHeight="15720" xr2:uid="{46DFB28B-8DB6-41D0-9122-A13F1928C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1" l="1"/>
  <c r="K86" i="1"/>
  <c r="J86" i="1"/>
  <c r="I86" i="1"/>
  <c r="H86" i="1"/>
  <c r="G86" i="1"/>
  <c r="F86" i="1"/>
  <c r="E86" i="1"/>
  <c r="D86" i="1"/>
  <c r="C86" i="1"/>
  <c r="B86" i="1"/>
  <c r="L82" i="1"/>
  <c r="K82" i="1"/>
  <c r="J82" i="1"/>
  <c r="I82" i="1"/>
  <c r="I87" i="1" s="1"/>
  <c r="H82" i="1"/>
  <c r="H87" i="1" s="1"/>
  <c r="G82" i="1"/>
  <c r="G87" i="1" s="1"/>
  <c r="F82" i="1"/>
  <c r="E82" i="1"/>
  <c r="D82" i="1"/>
  <c r="C82" i="1"/>
  <c r="B82" i="1"/>
  <c r="L70" i="1"/>
  <c r="K70" i="1"/>
  <c r="J70" i="1"/>
  <c r="I70" i="1"/>
  <c r="H70" i="1"/>
  <c r="G70" i="1"/>
  <c r="F70" i="1"/>
  <c r="E70" i="1"/>
  <c r="D70" i="1"/>
  <c r="C70" i="1"/>
  <c r="B70" i="1"/>
  <c r="L66" i="1"/>
  <c r="K66" i="1"/>
  <c r="J66" i="1"/>
  <c r="I66" i="1"/>
  <c r="H66" i="1"/>
  <c r="G66" i="1"/>
  <c r="F66" i="1"/>
  <c r="E66" i="1"/>
  <c r="D66" i="1"/>
  <c r="C66" i="1"/>
  <c r="B66" i="1"/>
  <c r="L54" i="1"/>
  <c r="L50" i="1"/>
  <c r="K54" i="1"/>
  <c r="J54" i="1"/>
  <c r="I54" i="1"/>
  <c r="H54" i="1"/>
  <c r="G54" i="1"/>
  <c r="F54" i="1"/>
  <c r="E54" i="1"/>
  <c r="D54" i="1"/>
  <c r="C54" i="1"/>
  <c r="B54" i="1"/>
  <c r="K50" i="1"/>
  <c r="J50" i="1"/>
  <c r="I50" i="1"/>
  <c r="H50" i="1"/>
  <c r="G50" i="1"/>
  <c r="F50" i="1"/>
  <c r="E50" i="1"/>
  <c r="D50" i="1"/>
  <c r="C50" i="1"/>
  <c r="B50" i="1"/>
  <c r="K38" i="1"/>
  <c r="J38" i="1"/>
  <c r="I38" i="1"/>
  <c r="H38" i="1"/>
  <c r="G38" i="1"/>
  <c r="F38" i="1"/>
  <c r="E38" i="1"/>
  <c r="D38" i="1"/>
  <c r="C38" i="1"/>
  <c r="B38" i="1"/>
  <c r="K34" i="1"/>
  <c r="J34" i="1"/>
  <c r="I34" i="1"/>
  <c r="H34" i="1"/>
  <c r="G34" i="1"/>
  <c r="F34" i="1"/>
  <c r="E34" i="1"/>
  <c r="D34" i="1"/>
  <c r="C34" i="1"/>
  <c r="B34" i="1"/>
  <c r="G22" i="1"/>
  <c r="D22" i="1"/>
  <c r="B22" i="1"/>
  <c r="C22" i="1"/>
  <c r="B18" i="1"/>
  <c r="C18" i="1"/>
  <c r="D18" i="1"/>
  <c r="E22" i="1"/>
  <c r="F22" i="1"/>
  <c r="H22" i="1"/>
  <c r="I22" i="1"/>
  <c r="J22" i="1"/>
  <c r="K22" i="1"/>
  <c r="E18" i="1"/>
  <c r="F18" i="1"/>
  <c r="G18" i="1"/>
  <c r="H18" i="1"/>
  <c r="I18" i="1"/>
  <c r="J18" i="1"/>
  <c r="K18" i="1"/>
  <c r="L87" i="1" l="1"/>
  <c r="C71" i="1"/>
  <c r="J87" i="1"/>
  <c r="K87" i="1"/>
  <c r="F87" i="1"/>
  <c r="E87" i="1"/>
  <c r="D87" i="1"/>
  <c r="C87" i="1"/>
  <c r="B87" i="1"/>
  <c r="L71" i="1"/>
  <c r="K71" i="1"/>
  <c r="J71" i="1"/>
  <c r="I71" i="1"/>
  <c r="H71" i="1"/>
  <c r="G71" i="1"/>
  <c r="F71" i="1"/>
  <c r="E71" i="1"/>
  <c r="D71" i="1"/>
  <c r="B71" i="1"/>
  <c r="J55" i="1"/>
  <c r="L55" i="1"/>
  <c r="K55" i="1"/>
  <c r="I55" i="1"/>
  <c r="H55" i="1"/>
  <c r="G55" i="1"/>
  <c r="F55" i="1"/>
  <c r="C55" i="1"/>
  <c r="D55" i="1"/>
  <c r="B55" i="1"/>
  <c r="E55" i="1"/>
  <c r="K39" i="1"/>
  <c r="J39" i="1"/>
  <c r="I39" i="1"/>
  <c r="H39" i="1"/>
  <c r="G39" i="1"/>
  <c r="F39" i="1"/>
  <c r="B39" i="1"/>
  <c r="C39" i="1"/>
  <c r="D39" i="1"/>
  <c r="E39" i="1"/>
  <c r="K23" i="1"/>
  <c r="J23" i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<sst xmlns="http://schemas.openxmlformats.org/spreadsheetml/2006/main" count="149" uniqueCount="41">
  <si>
    <t>Sample 1</t>
    <phoneticPr fontId="1" type="noConversion"/>
  </si>
  <si>
    <t>Sample 2</t>
    <phoneticPr fontId="1" type="noConversion"/>
  </si>
  <si>
    <t>Sample 3</t>
    <phoneticPr fontId="1" type="noConversion"/>
  </si>
  <si>
    <t>Sample 4</t>
    <phoneticPr fontId="1" type="noConversion"/>
  </si>
  <si>
    <t>Sample 5</t>
    <phoneticPr fontId="1" type="noConversion"/>
  </si>
  <si>
    <t>Unit:mm</t>
    <phoneticPr fontId="1" type="noConversion"/>
  </si>
  <si>
    <t>标距长度 L (Gauge Length)</t>
  </si>
  <si>
    <t>按 Type V 标准 = 9.53 mm</t>
  </si>
  <si>
    <t>试样安装时的初始夹距</t>
  </si>
  <si>
    <t>测试速度 (Crosshead Speed)</t>
  </si>
  <si>
    <t>Test rate = ？ mm/min</t>
    <phoneticPr fontId="1" type="noConversion"/>
  </si>
  <si>
    <t>顶部宽度 (Top Width)</t>
  </si>
  <si>
    <t>非测试区宽度，用于对齐和夹持</t>
    <phoneticPr fontId="1" type="noConversion"/>
  </si>
  <si>
    <t>Width Top</t>
    <phoneticPr fontId="1" type="noConversion"/>
  </si>
  <si>
    <t>Width Medium</t>
    <phoneticPr fontId="1" type="noConversion"/>
  </si>
  <si>
    <t>Width Bottom</t>
    <phoneticPr fontId="1" type="noConversion"/>
  </si>
  <si>
    <t>Width Mean</t>
    <phoneticPr fontId="1" type="noConversion"/>
  </si>
  <si>
    <t>Thickness Top</t>
    <phoneticPr fontId="1" type="noConversion"/>
  </si>
  <si>
    <t>Thickness Medium</t>
    <phoneticPr fontId="1" type="noConversion"/>
  </si>
  <si>
    <t>Thickness Bottom</t>
    <phoneticPr fontId="1" type="noConversion"/>
  </si>
  <si>
    <t>Thickness Mean</t>
    <phoneticPr fontId="1" type="noConversion"/>
  </si>
  <si>
    <t>Area</t>
    <phoneticPr fontId="1" type="noConversion"/>
  </si>
  <si>
    <t>Sample a</t>
    <phoneticPr fontId="1" type="noConversion"/>
  </si>
  <si>
    <t>Sample b</t>
    <phoneticPr fontId="1" type="noConversion"/>
  </si>
  <si>
    <t>Sample c</t>
    <phoneticPr fontId="1" type="noConversion"/>
  </si>
  <si>
    <t>Sample d</t>
    <phoneticPr fontId="1" type="noConversion"/>
  </si>
  <si>
    <t>Sample e</t>
    <phoneticPr fontId="1" type="noConversion"/>
  </si>
  <si>
    <t>Sample f</t>
    <phoneticPr fontId="1" type="noConversion"/>
  </si>
  <si>
    <t>Peak Stress (N/mm^2)</t>
    <phoneticPr fontId="1" type="noConversion"/>
  </si>
  <si>
    <t>Peak Load (N)</t>
    <phoneticPr fontId="1" type="noConversion"/>
  </si>
  <si>
    <t>Strain at break (mm/mm)</t>
    <phoneticPr fontId="1" type="noConversion"/>
  </si>
  <si>
    <t>Modules (N/mm^2)</t>
    <phoneticPr fontId="1" type="noConversion"/>
  </si>
  <si>
    <r>
      <t>MEK_</t>
    </r>
    <r>
      <rPr>
        <sz val="11"/>
        <color rgb="FFFF0000"/>
        <rFont val="等线"/>
        <family val="3"/>
        <charset val="134"/>
        <scheme val="minor"/>
      </rPr>
      <t>0%</t>
    </r>
    <phoneticPr fontId="1" type="noConversion"/>
  </si>
  <si>
    <r>
      <t>MEK_</t>
    </r>
    <r>
      <rPr>
        <sz val="11"/>
        <color rgb="FFFF0000"/>
        <rFont val="等线"/>
        <family val="3"/>
        <charset val="134"/>
        <scheme val="minor"/>
      </rPr>
      <t>1.25%</t>
    </r>
    <phoneticPr fontId="1" type="noConversion"/>
  </si>
  <si>
    <r>
      <t>MEK_</t>
    </r>
    <r>
      <rPr>
        <sz val="11"/>
        <color rgb="FFFF0000"/>
        <rFont val="等线"/>
        <family val="3"/>
        <charset val="134"/>
        <scheme val="minor"/>
      </rPr>
      <t>2.5%</t>
    </r>
    <phoneticPr fontId="1" type="noConversion"/>
  </si>
  <si>
    <r>
      <t>MEK_</t>
    </r>
    <r>
      <rPr>
        <sz val="11"/>
        <color rgb="FFFF0000"/>
        <rFont val="等线"/>
        <family val="3"/>
        <charset val="134"/>
        <scheme val="minor"/>
      </rPr>
      <t>3.75%</t>
    </r>
    <phoneticPr fontId="1" type="noConversion"/>
  </si>
  <si>
    <r>
      <t>MEK_</t>
    </r>
    <r>
      <rPr>
        <sz val="11"/>
        <color rgb="FFFF0000"/>
        <rFont val="等线"/>
        <family val="3"/>
        <charset val="134"/>
        <scheme val="minor"/>
      </rPr>
      <t>5%</t>
    </r>
    <phoneticPr fontId="1" type="noConversion"/>
  </si>
  <si>
    <t>作废</t>
    <phoneticPr fontId="1" type="noConversion"/>
  </si>
  <si>
    <t>速度改为70mm/min</t>
    <phoneticPr fontId="1" type="noConversion"/>
  </si>
  <si>
    <t>夹具间距 (Grip Separation)</t>
    <phoneticPr fontId="1" type="noConversion"/>
  </si>
  <si>
    <t>保存了数据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</si>
</sst>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81C0-EBC2-4043-A4B1-D74E6EB344E1}">
  <dimension ref="A1:M91"/>
  <sheetViews>
    <sheetView tabSelected="1" topLeftCell="A22" workbookViewId="0">
      <selection activeCell="E39" sqref="E39"/>
    </sheetView>
  </sheetViews>
  <sheetFormatPr defaultRowHeight="14.25" x14ac:dyDescent="0.2"/>
  <cols>
    <col min="1" max="1" width="24.375" customWidth="1"/>
    <col min="2" max="2" width="31.5" bestFit="1" customWidth="1"/>
    <col min="9" max="9" width="9" customWidth="1"/>
    <col min="10" max="10" width="8.375" customWidth="1"/>
  </cols>
  <sheetData>
    <row r="1" spans="1:12" x14ac:dyDescent="0.2">
      <c r="C1" t="s">
        <v>5</v>
      </c>
    </row>
    <row r="2" spans="1:12" x14ac:dyDescent="0.2">
      <c r="A2" t="s">
        <v>6</v>
      </c>
      <c r="B2" t="s">
        <v>7</v>
      </c>
      <c r="C2">
        <v>9.5299999999999994</v>
      </c>
    </row>
    <row r="3" spans="1:12" x14ac:dyDescent="0.2">
      <c r="A3" t="s">
        <v>39</v>
      </c>
      <c r="B3" t="s">
        <v>8</v>
      </c>
      <c r="C3">
        <v>30</v>
      </c>
    </row>
    <row r="4" spans="1:12" x14ac:dyDescent="0.2">
      <c r="A4" t="s">
        <v>9</v>
      </c>
      <c r="B4" t="s">
        <v>10</v>
      </c>
      <c r="C4">
        <v>30</v>
      </c>
    </row>
    <row r="5" spans="1:12" x14ac:dyDescent="0.2">
      <c r="A5" t="s">
        <v>11</v>
      </c>
      <c r="B5" t="s">
        <v>12</v>
      </c>
      <c r="C5">
        <v>10.15</v>
      </c>
    </row>
    <row r="13" spans="1:12" x14ac:dyDescent="0.2">
      <c r="F13" t="s">
        <v>38</v>
      </c>
    </row>
    <row r="14" spans="1:12" x14ac:dyDescent="0.2">
      <c r="A14" t="s">
        <v>32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5</v>
      </c>
    </row>
    <row r="15" spans="1:12" x14ac:dyDescent="0.2">
      <c r="A15" t="s">
        <v>13</v>
      </c>
      <c r="B15">
        <v>3.46</v>
      </c>
      <c r="C15">
        <v>3.34</v>
      </c>
      <c r="D15">
        <v>3.28</v>
      </c>
      <c r="E15">
        <v>3.24</v>
      </c>
      <c r="F15">
        <v>3.52</v>
      </c>
      <c r="G15">
        <v>3.6</v>
      </c>
      <c r="H15">
        <v>3.56</v>
      </c>
      <c r="I15">
        <v>3.06</v>
      </c>
      <c r="J15">
        <v>3.46</v>
      </c>
      <c r="K15">
        <v>3.42</v>
      </c>
    </row>
    <row r="16" spans="1:12" x14ac:dyDescent="0.2">
      <c r="A16" t="s">
        <v>14</v>
      </c>
      <c r="B16">
        <v>3.02</v>
      </c>
      <c r="C16">
        <v>3.29</v>
      </c>
      <c r="D16">
        <v>3.33</v>
      </c>
      <c r="E16">
        <v>3.29</v>
      </c>
      <c r="F16">
        <v>3.31</v>
      </c>
      <c r="G16">
        <v>3.28</v>
      </c>
      <c r="H16">
        <v>3.46</v>
      </c>
      <c r="I16">
        <v>3.28</v>
      </c>
      <c r="J16">
        <v>3.09</v>
      </c>
      <c r="K16">
        <v>3.1</v>
      </c>
    </row>
    <row r="17" spans="1:12" x14ac:dyDescent="0.2">
      <c r="A17" t="s">
        <v>15</v>
      </c>
      <c r="B17">
        <v>3.42</v>
      </c>
      <c r="C17">
        <v>3.37</v>
      </c>
      <c r="D17">
        <v>3.26</v>
      </c>
      <c r="E17">
        <v>3.31</v>
      </c>
      <c r="F17">
        <v>3.39</v>
      </c>
      <c r="G17">
        <v>3.22</v>
      </c>
      <c r="H17">
        <v>3.48</v>
      </c>
      <c r="I17">
        <v>3.44</v>
      </c>
      <c r="J17">
        <v>3.16</v>
      </c>
      <c r="K17">
        <v>3.44</v>
      </c>
    </row>
    <row r="18" spans="1:12" s="1" customFormat="1" x14ac:dyDescent="0.2">
      <c r="A18" s="1" t="s">
        <v>16</v>
      </c>
      <c r="B18" s="1">
        <f t="shared" ref="B18:K18" si="0">AVERAGE(B15:B17)</f>
        <v>3.3000000000000003</v>
      </c>
      <c r="C18" s="1">
        <f t="shared" si="0"/>
        <v>3.3333333333333335</v>
      </c>
      <c r="D18" s="1">
        <f t="shared" si="0"/>
        <v>3.2899999999999996</v>
      </c>
      <c r="E18" s="1">
        <f t="shared" si="0"/>
        <v>3.28</v>
      </c>
      <c r="F18" s="1">
        <f t="shared" si="0"/>
        <v>3.4066666666666667</v>
      </c>
      <c r="G18" s="1">
        <f t="shared" si="0"/>
        <v>3.3666666666666667</v>
      </c>
      <c r="H18" s="1">
        <f t="shared" si="0"/>
        <v>3.5</v>
      </c>
      <c r="I18" s="1">
        <f t="shared" si="0"/>
        <v>3.26</v>
      </c>
      <c r="J18" s="1">
        <f t="shared" si="0"/>
        <v>3.2366666666666668</v>
      </c>
      <c r="K18" s="1">
        <f t="shared" si="0"/>
        <v>3.32</v>
      </c>
    </row>
    <row r="19" spans="1:12" x14ac:dyDescent="0.2">
      <c r="A19" t="s">
        <v>17</v>
      </c>
      <c r="B19">
        <v>0.35</v>
      </c>
      <c r="C19">
        <v>0.54</v>
      </c>
      <c r="D19">
        <v>0.49</v>
      </c>
      <c r="E19">
        <v>0.49</v>
      </c>
      <c r="F19">
        <v>0.51</v>
      </c>
      <c r="G19">
        <v>0.65</v>
      </c>
      <c r="H19">
        <v>0.65</v>
      </c>
      <c r="I19">
        <v>0.62</v>
      </c>
      <c r="J19">
        <v>0.56999999999999995</v>
      </c>
      <c r="K19">
        <v>0.61</v>
      </c>
    </row>
    <row r="20" spans="1:12" x14ac:dyDescent="0.2">
      <c r="A20" t="s">
        <v>18</v>
      </c>
      <c r="B20">
        <v>0.34</v>
      </c>
      <c r="C20">
        <v>0.52</v>
      </c>
      <c r="D20">
        <v>0.47</v>
      </c>
      <c r="E20">
        <v>0.48</v>
      </c>
      <c r="F20">
        <v>0.5</v>
      </c>
      <c r="G20">
        <v>0.66</v>
      </c>
      <c r="H20">
        <v>0.67</v>
      </c>
      <c r="I20">
        <v>0.6</v>
      </c>
      <c r="J20">
        <v>0.59</v>
      </c>
      <c r="K20">
        <v>0.61</v>
      </c>
    </row>
    <row r="21" spans="1:12" x14ac:dyDescent="0.2">
      <c r="A21" t="s">
        <v>19</v>
      </c>
      <c r="B21">
        <v>0.33</v>
      </c>
      <c r="C21">
        <v>0.52</v>
      </c>
      <c r="D21">
        <v>0.45</v>
      </c>
      <c r="E21">
        <v>0.49</v>
      </c>
      <c r="F21">
        <v>0.49</v>
      </c>
      <c r="G21">
        <v>0.67</v>
      </c>
      <c r="H21">
        <v>0.66</v>
      </c>
      <c r="I21">
        <v>0.61</v>
      </c>
      <c r="J21">
        <v>0.6</v>
      </c>
      <c r="K21">
        <v>0.56999999999999995</v>
      </c>
    </row>
    <row r="22" spans="1:12" s="1" customFormat="1" x14ac:dyDescent="0.2">
      <c r="A22" s="1" t="s">
        <v>20</v>
      </c>
      <c r="B22" s="1">
        <f t="shared" ref="B22:K22" si="1">AVERAGE(B19:B21)</f>
        <v>0.34</v>
      </c>
      <c r="C22" s="1">
        <f t="shared" si="1"/>
        <v>0.52666666666666673</v>
      </c>
      <c r="D22" s="1">
        <f>AVERAGE(D19:D21)</f>
        <v>0.47</v>
      </c>
      <c r="E22" s="1">
        <f t="shared" si="1"/>
        <v>0.48666666666666664</v>
      </c>
      <c r="F22" s="1">
        <f t="shared" si="1"/>
        <v>0.5</v>
      </c>
      <c r="G22" s="1">
        <f>AVERAGE(G19:G21)</f>
        <v>0.66</v>
      </c>
      <c r="H22" s="1">
        <f t="shared" si="1"/>
        <v>0.66</v>
      </c>
      <c r="I22" s="1">
        <f t="shared" si="1"/>
        <v>0.61</v>
      </c>
      <c r="J22" s="1">
        <f t="shared" si="1"/>
        <v>0.58666666666666656</v>
      </c>
      <c r="K22" s="1">
        <f t="shared" si="1"/>
        <v>0.59666666666666668</v>
      </c>
    </row>
    <row r="23" spans="1:12" x14ac:dyDescent="0.2">
      <c r="A23" t="s">
        <v>21</v>
      </c>
      <c r="B23">
        <f t="shared" ref="B23" si="2">B18*B22</f>
        <v>1.1220000000000001</v>
      </c>
      <c r="C23">
        <f t="shared" ref="C23" si="3">C18*C22</f>
        <v>1.7555555555555558</v>
      </c>
      <c r="D23">
        <f t="shared" ref="D23" si="4">D18*D22</f>
        <v>1.5462999999999998</v>
      </c>
      <c r="E23">
        <f t="shared" ref="E23:K23" si="5">E18*E22</f>
        <v>1.5962666666666665</v>
      </c>
      <c r="F23">
        <f t="shared" si="5"/>
        <v>1.7033333333333334</v>
      </c>
      <c r="G23">
        <f t="shared" si="5"/>
        <v>2.222</v>
      </c>
      <c r="H23">
        <f t="shared" si="5"/>
        <v>2.31</v>
      </c>
      <c r="I23">
        <f t="shared" si="5"/>
        <v>1.9885999999999999</v>
      </c>
      <c r="J23">
        <f t="shared" si="5"/>
        <v>1.8988444444444441</v>
      </c>
      <c r="K23">
        <f t="shared" si="5"/>
        <v>1.9809333333333332</v>
      </c>
    </row>
    <row r="24" spans="1:12" x14ac:dyDescent="0.2">
      <c r="A24" s="1" t="s">
        <v>28</v>
      </c>
      <c r="B24" t="s">
        <v>37</v>
      </c>
      <c r="C24" t="s">
        <v>37</v>
      </c>
      <c r="D24">
        <v>34.700000000000003</v>
      </c>
      <c r="E24">
        <v>33.799999999999997</v>
      </c>
      <c r="F24">
        <v>33.799999999999997</v>
      </c>
      <c r="G24" t="s">
        <v>37</v>
      </c>
      <c r="H24">
        <v>28.8</v>
      </c>
      <c r="I24">
        <v>33.1</v>
      </c>
      <c r="J24">
        <v>34.5</v>
      </c>
      <c r="K24">
        <v>34.299999999999997</v>
      </c>
    </row>
    <row r="25" spans="1:12" x14ac:dyDescent="0.2">
      <c r="A25" s="1" t="s">
        <v>29</v>
      </c>
      <c r="D25">
        <v>53.701000000000001</v>
      </c>
      <c r="E25">
        <v>53.81</v>
      </c>
      <c r="F25">
        <v>57.488999999999997</v>
      </c>
      <c r="H25">
        <v>66.495999999999995</v>
      </c>
      <c r="I25">
        <v>65.775999999999996</v>
      </c>
      <c r="J25">
        <v>65.501999999999995</v>
      </c>
      <c r="K25">
        <v>67.837999999999994</v>
      </c>
    </row>
    <row r="26" spans="1:12" x14ac:dyDescent="0.2">
      <c r="A26" s="1" t="s">
        <v>30</v>
      </c>
      <c r="D26">
        <v>7.093</v>
      </c>
      <c r="E26">
        <v>5.3079999999999998</v>
      </c>
      <c r="F26">
        <v>7.0250000000000004</v>
      </c>
      <c r="H26">
        <v>8.0139999999999993</v>
      </c>
      <c r="I26">
        <v>8.4570000000000007</v>
      </c>
      <c r="J26">
        <v>7.8879999999999999</v>
      </c>
      <c r="K26">
        <v>6.2329999999999997</v>
      </c>
    </row>
    <row r="27" spans="1:12" x14ac:dyDescent="0.2">
      <c r="A27" s="1" t="s">
        <v>31</v>
      </c>
      <c r="D27">
        <v>4.8659999999999997</v>
      </c>
      <c r="E27">
        <v>7.4039999999999999</v>
      </c>
      <c r="F27">
        <v>68.832999999999998</v>
      </c>
      <c r="H27">
        <v>91.388999999999996</v>
      </c>
      <c r="I27">
        <v>66.843000000000004</v>
      </c>
      <c r="J27">
        <v>5.0350000000000001</v>
      </c>
      <c r="K27">
        <v>5.5209999999999999</v>
      </c>
    </row>
    <row r="30" spans="1:12" x14ac:dyDescent="0.2">
      <c r="A30" t="s">
        <v>33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5</v>
      </c>
    </row>
    <row r="31" spans="1:12" x14ac:dyDescent="0.2">
      <c r="A31" t="s">
        <v>13</v>
      </c>
      <c r="B31">
        <v>3.14</v>
      </c>
      <c r="C31">
        <v>3.42</v>
      </c>
      <c r="D31">
        <v>3.59</v>
      </c>
      <c r="E31">
        <v>3.65</v>
      </c>
      <c r="F31">
        <v>3.59</v>
      </c>
      <c r="G31">
        <v>3.67</v>
      </c>
      <c r="H31">
        <v>3.83</v>
      </c>
      <c r="I31">
        <v>3.8</v>
      </c>
      <c r="J31">
        <v>3.48</v>
      </c>
      <c r="K31">
        <v>3.51</v>
      </c>
    </row>
    <row r="32" spans="1:12" x14ac:dyDescent="0.2">
      <c r="A32" t="s">
        <v>14</v>
      </c>
      <c r="B32">
        <v>3.09</v>
      </c>
      <c r="C32">
        <v>3.21</v>
      </c>
      <c r="D32">
        <v>3.14</v>
      </c>
      <c r="E32">
        <v>3.24</v>
      </c>
      <c r="F32">
        <v>3.53</v>
      </c>
      <c r="G32">
        <v>3.43</v>
      </c>
      <c r="H32">
        <v>3.51</v>
      </c>
      <c r="I32">
        <v>3.55</v>
      </c>
      <c r="J32">
        <v>3.26</v>
      </c>
      <c r="K32">
        <v>3.29</v>
      </c>
    </row>
    <row r="33" spans="1:13" x14ac:dyDescent="0.2">
      <c r="A33" t="s">
        <v>15</v>
      </c>
      <c r="B33">
        <v>3.36</v>
      </c>
      <c r="C33">
        <v>3.35</v>
      </c>
      <c r="D33">
        <v>3.2</v>
      </c>
      <c r="E33">
        <v>3.25</v>
      </c>
      <c r="F33">
        <v>3.55</v>
      </c>
      <c r="G33">
        <v>3.6</v>
      </c>
      <c r="H33">
        <v>3.45</v>
      </c>
      <c r="I33">
        <v>3.5</v>
      </c>
      <c r="J33">
        <v>3.33</v>
      </c>
      <c r="K33">
        <v>3.17</v>
      </c>
    </row>
    <row r="34" spans="1:13" s="1" customFormat="1" x14ac:dyDescent="0.2">
      <c r="A34" s="1" t="s">
        <v>16</v>
      </c>
      <c r="B34" s="1">
        <f t="shared" ref="B34:K34" si="6">AVERAGE(B31:B33)</f>
        <v>3.1966666666666668</v>
      </c>
      <c r="C34" s="1">
        <f t="shared" si="6"/>
        <v>3.3266666666666667</v>
      </c>
      <c r="D34" s="1">
        <f t="shared" si="6"/>
        <v>3.31</v>
      </c>
      <c r="E34" s="1">
        <f t="shared" si="6"/>
        <v>3.3800000000000003</v>
      </c>
      <c r="F34" s="1">
        <f t="shared" si="6"/>
        <v>3.5566666666666662</v>
      </c>
      <c r="G34" s="1">
        <f t="shared" si="6"/>
        <v>3.5666666666666664</v>
      </c>
      <c r="H34" s="1">
        <f t="shared" si="6"/>
        <v>3.5966666666666662</v>
      </c>
      <c r="I34" s="1">
        <f t="shared" si="6"/>
        <v>3.6166666666666667</v>
      </c>
      <c r="J34" s="1">
        <f t="shared" si="6"/>
        <v>3.3566666666666669</v>
      </c>
      <c r="K34" s="1">
        <f t="shared" si="6"/>
        <v>3.3233333333333328</v>
      </c>
    </row>
    <row r="35" spans="1:13" x14ac:dyDescent="0.2">
      <c r="A35" t="s">
        <v>17</v>
      </c>
      <c r="B35">
        <v>0.95</v>
      </c>
      <c r="C35">
        <v>0.92</v>
      </c>
      <c r="D35">
        <v>0.99</v>
      </c>
      <c r="E35">
        <v>0.95</v>
      </c>
      <c r="F35">
        <v>1.06</v>
      </c>
      <c r="G35">
        <v>0.86</v>
      </c>
      <c r="H35">
        <v>0.93</v>
      </c>
      <c r="I35">
        <v>0.97</v>
      </c>
      <c r="J35">
        <v>0.96</v>
      </c>
      <c r="K35">
        <v>0.92</v>
      </c>
    </row>
    <row r="36" spans="1:13" x14ac:dyDescent="0.2">
      <c r="A36" t="s">
        <v>18</v>
      </c>
      <c r="B36">
        <v>0.92</v>
      </c>
      <c r="C36">
        <v>0.91</v>
      </c>
      <c r="D36">
        <v>0.96</v>
      </c>
      <c r="E36">
        <v>0.95</v>
      </c>
      <c r="F36">
        <v>1.05</v>
      </c>
      <c r="G36">
        <v>0.92</v>
      </c>
      <c r="H36">
        <v>0.92</v>
      </c>
      <c r="I36">
        <v>0.96</v>
      </c>
      <c r="J36">
        <v>0.93</v>
      </c>
      <c r="K36">
        <v>0.95</v>
      </c>
    </row>
    <row r="37" spans="1:13" x14ac:dyDescent="0.2">
      <c r="A37" t="s">
        <v>19</v>
      </c>
      <c r="B37">
        <v>0.92</v>
      </c>
      <c r="C37">
        <v>0.91</v>
      </c>
      <c r="D37">
        <v>0.95</v>
      </c>
      <c r="E37">
        <v>0.96</v>
      </c>
      <c r="F37">
        <v>1.01</v>
      </c>
      <c r="G37">
        <v>0.83</v>
      </c>
      <c r="H37">
        <v>0.93</v>
      </c>
      <c r="I37">
        <v>0.94</v>
      </c>
      <c r="J37">
        <v>0.94</v>
      </c>
      <c r="K37">
        <v>0.95</v>
      </c>
    </row>
    <row r="38" spans="1:13" s="1" customFormat="1" x14ac:dyDescent="0.2">
      <c r="A38" s="1" t="s">
        <v>20</v>
      </c>
      <c r="B38" s="1">
        <f t="shared" ref="B38:C38" si="7">AVERAGE(B35:B37)</f>
        <v>0.93</v>
      </c>
      <c r="C38" s="1">
        <f t="shared" si="7"/>
        <v>0.91333333333333344</v>
      </c>
      <c r="D38" s="1">
        <f>AVERAGE(D35:D37)</f>
        <v>0.96666666666666667</v>
      </c>
      <c r="E38" s="1">
        <f t="shared" ref="E38:F38" si="8">AVERAGE(E35:E37)</f>
        <v>0.95333333333333325</v>
      </c>
      <c r="F38" s="1">
        <f t="shared" si="8"/>
        <v>1.04</v>
      </c>
      <c r="G38" s="1">
        <f>AVERAGE(G35:G37)</f>
        <v>0.87</v>
      </c>
      <c r="H38" s="1">
        <f t="shared" ref="H38:K38" si="9">AVERAGE(H35:H37)</f>
        <v>0.92666666666666675</v>
      </c>
      <c r="I38" s="1">
        <f t="shared" si="9"/>
        <v>0.95666666666666667</v>
      </c>
      <c r="J38" s="1">
        <f t="shared" si="9"/>
        <v>0.94333333333333336</v>
      </c>
      <c r="K38" s="1">
        <f t="shared" si="9"/>
        <v>0.94000000000000006</v>
      </c>
    </row>
    <row r="39" spans="1:13" x14ac:dyDescent="0.2">
      <c r="A39" t="s">
        <v>21</v>
      </c>
      <c r="B39">
        <f t="shared" ref="B39" si="10">B34*B38</f>
        <v>2.9729000000000001</v>
      </c>
      <c r="C39">
        <f t="shared" ref="C39" si="11">C34*C38</f>
        <v>3.0383555555555559</v>
      </c>
      <c r="D39">
        <f t="shared" ref="D39" si="12">D34*D38</f>
        <v>3.1996666666666669</v>
      </c>
      <c r="E39">
        <f t="shared" ref="E39" si="13">E34*E38</f>
        <v>3.2222666666666666</v>
      </c>
      <c r="F39">
        <f t="shared" ref="F39" si="14">F34*F38</f>
        <v>3.6989333333333332</v>
      </c>
      <c r="G39">
        <f t="shared" ref="G39" si="15">G34*G38</f>
        <v>3.1029999999999998</v>
      </c>
      <c r="H39">
        <f t="shared" ref="H39" si="16">H34*H38</f>
        <v>3.3329111111111112</v>
      </c>
      <c r="I39">
        <f t="shared" ref="I39" si="17">I34*I38</f>
        <v>3.4599444444444445</v>
      </c>
      <c r="J39">
        <f t="shared" ref="J39" si="18">J34*J38</f>
        <v>3.1664555555555558</v>
      </c>
      <c r="K39">
        <f t="shared" ref="K39" si="19">K34*K38</f>
        <v>3.123933333333333</v>
      </c>
    </row>
    <row r="40" spans="1:13" x14ac:dyDescent="0.2">
      <c r="A40" s="1" t="s">
        <v>28</v>
      </c>
      <c r="B40">
        <v>21.4</v>
      </c>
      <c r="C40" t="s">
        <v>37</v>
      </c>
      <c r="D40" t="s">
        <v>37</v>
      </c>
      <c r="E40">
        <v>20.5</v>
      </c>
      <c r="F40">
        <v>21.5</v>
      </c>
      <c r="G40" t="s">
        <v>37</v>
      </c>
      <c r="H40">
        <v>24.3</v>
      </c>
      <c r="I40" t="s">
        <v>37</v>
      </c>
      <c r="J40" t="s">
        <v>37</v>
      </c>
      <c r="K40" t="s">
        <v>37</v>
      </c>
    </row>
    <row r="41" spans="1:13" x14ac:dyDescent="0.2">
      <c r="A41" s="1" t="s">
        <v>29</v>
      </c>
      <c r="B41">
        <v>63.512</v>
      </c>
      <c r="E41">
        <v>65.924000000000007</v>
      </c>
      <c r="F41">
        <v>79.347999999999999</v>
      </c>
      <c r="H41">
        <v>81.022999999999996</v>
      </c>
      <c r="J41" t="s">
        <v>40</v>
      </c>
      <c r="K41" t="s">
        <v>40</v>
      </c>
    </row>
    <row r="42" spans="1:13" x14ac:dyDescent="0.2">
      <c r="A42" s="1" t="s">
        <v>30</v>
      </c>
      <c r="B42">
        <v>5.5990000000000002</v>
      </c>
      <c r="E42">
        <v>5.0609999999999999</v>
      </c>
      <c r="F42">
        <v>7.1719999999999997</v>
      </c>
      <c r="H42">
        <v>9.3079999999999998</v>
      </c>
    </row>
    <row r="43" spans="1:13" x14ac:dyDescent="0.2">
      <c r="A43" s="1" t="s">
        <v>31</v>
      </c>
      <c r="B43">
        <v>137.797</v>
      </c>
      <c r="E43">
        <v>138.155</v>
      </c>
      <c r="F43">
        <v>138.55600000000001</v>
      </c>
      <c r="H43">
        <v>147.648</v>
      </c>
    </row>
    <row r="46" spans="1:13" x14ac:dyDescent="0.2">
      <c r="A46" t="s">
        <v>34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5</v>
      </c>
    </row>
    <row r="47" spans="1:13" x14ac:dyDescent="0.2">
      <c r="A47" t="s">
        <v>13</v>
      </c>
      <c r="B47">
        <v>3.48</v>
      </c>
      <c r="C47">
        <v>3.55</v>
      </c>
      <c r="D47">
        <v>3.47</v>
      </c>
      <c r="E47">
        <v>3.48</v>
      </c>
      <c r="F47">
        <v>3.22</v>
      </c>
      <c r="G47">
        <v>3.68</v>
      </c>
      <c r="H47">
        <v>3.28</v>
      </c>
      <c r="I47">
        <v>3.38</v>
      </c>
      <c r="J47">
        <v>3.37</v>
      </c>
      <c r="K47">
        <v>3.64</v>
      </c>
      <c r="L47">
        <v>3.35</v>
      </c>
    </row>
    <row r="48" spans="1:13" x14ac:dyDescent="0.2">
      <c r="A48" t="s">
        <v>14</v>
      </c>
      <c r="B48">
        <v>3.25</v>
      </c>
      <c r="C48">
        <v>3.24</v>
      </c>
      <c r="D48">
        <v>3.42</v>
      </c>
      <c r="E48">
        <v>3.34</v>
      </c>
      <c r="F48">
        <v>3.08</v>
      </c>
      <c r="G48">
        <v>3.22</v>
      </c>
      <c r="H48">
        <v>3.23</v>
      </c>
      <c r="I48">
        <v>3.17</v>
      </c>
      <c r="J48">
        <v>3.33</v>
      </c>
      <c r="K48">
        <v>3.58</v>
      </c>
      <c r="L48">
        <v>3.49</v>
      </c>
    </row>
    <row r="49" spans="1:13" x14ac:dyDescent="0.2">
      <c r="A49" t="s">
        <v>15</v>
      </c>
      <c r="B49">
        <v>3.59</v>
      </c>
      <c r="C49">
        <v>3.56</v>
      </c>
      <c r="D49">
        <v>3.43</v>
      </c>
      <c r="E49">
        <v>3.46</v>
      </c>
      <c r="F49">
        <v>3.18</v>
      </c>
      <c r="G49">
        <v>2.97</v>
      </c>
      <c r="H49">
        <v>3.27</v>
      </c>
      <c r="I49">
        <v>3.28</v>
      </c>
      <c r="J49">
        <v>3.22</v>
      </c>
      <c r="K49">
        <v>3.63</v>
      </c>
      <c r="L49">
        <v>3.41</v>
      </c>
    </row>
    <row r="50" spans="1:13" s="1" customFormat="1" x14ac:dyDescent="0.2">
      <c r="A50" s="1" t="s">
        <v>16</v>
      </c>
      <c r="B50" s="1">
        <f t="shared" ref="B50:L50" si="20">AVERAGE(B47:B49)</f>
        <v>3.44</v>
      </c>
      <c r="C50" s="1">
        <f t="shared" si="20"/>
        <v>3.4499999999999997</v>
      </c>
      <c r="D50" s="1">
        <f t="shared" si="20"/>
        <v>3.44</v>
      </c>
      <c r="E50" s="1">
        <f t="shared" si="20"/>
        <v>3.4266666666666672</v>
      </c>
      <c r="F50" s="1">
        <f t="shared" si="20"/>
        <v>3.16</v>
      </c>
      <c r="G50" s="1">
        <f t="shared" si="20"/>
        <v>3.2900000000000005</v>
      </c>
      <c r="H50" s="1">
        <f t="shared" si="20"/>
        <v>3.26</v>
      </c>
      <c r="I50" s="1">
        <f t="shared" si="20"/>
        <v>3.2766666666666668</v>
      </c>
      <c r="J50" s="1">
        <f t="shared" si="20"/>
        <v>3.3066666666666666</v>
      </c>
      <c r="K50" s="1">
        <f>AVERAGE(K47:K49)</f>
        <v>3.6166666666666671</v>
      </c>
      <c r="L50" s="1">
        <f t="shared" si="20"/>
        <v>3.4166666666666665</v>
      </c>
    </row>
    <row r="51" spans="1:13" x14ac:dyDescent="0.2">
      <c r="A51" t="s">
        <v>17</v>
      </c>
      <c r="B51">
        <v>1.08</v>
      </c>
      <c r="C51">
        <v>1.07</v>
      </c>
      <c r="D51">
        <v>1.1000000000000001</v>
      </c>
      <c r="E51">
        <v>1.1100000000000001</v>
      </c>
      <c r="F51">
        <v>1.02</v>
      </c>
      <c r="G51">
        <v>0.79</v>
      </c>
      <c r="H51">
        <v>0.76</v>
      </c>
      <c r="I51">
        <v>0.76</v>
      </c>
      <c r="J51">
        <v>0.77</v>
      </c>
      <c r="K51">
        <v>0.75</v>
      </c>
      <c r="L51">
        <v>0.79</v>
      </c>
    </row>
    <row r="52" spans="1:13" x14ac:dyDescent="0.2">
      <c r="A52" t="s">
        <v>18</v>
      </c>
      <c r="B52">
        <v>1.1000000000000001</v>
      </c>
      <c r="C52">
        <v>1.08</v>
      </c>
      <c r="D52">
        <v>1.08</v>
      </c>
      <c r="E52">
        <v>1.1299999999999999</v>
      </c>
      <c r="F52">
        <v>1.04</v>
      </c>
      <c r="G52">
        <v>0.8</v>
      </c>
      <c r="H52">
        <v>0.77</v>
      </c>
      <c r="I52">
        <v>0.77</v>
      </c>
      <c r="J52">
        <v>0.78</v>
      </c>
      <c r="K52">
        <v>0.77</v>
      </c>
      <c r="L52">
        <v>0.8</v>
      </c>
    </row>
    <row r="53" spans="1:13" x14ac:dyDescent="0.2">
      <c r="A53" t="s">
        <v>19</v>
      </c>
      <c r="B53">
        <v>1.0900000000000001</v>
      </c>
      <c r="C53">
        <v>1.05</v>
      </c>
      <c r="D53">
        <v>1.07</v>
      </c>
      <c r="E53">
        <v>1.1200000000000001</v>
      </c>
      <c r="F53">
        <v>1.02</v>
      </c>
      <c r="G53">
        <v>0.79</v>
      </c>
      <c r="H53">
        <v>0.76</v>
      </c>
      <c r="I53">
        <v>0.75</v>
      </c>
      <c r="J53">
        <v>0.76</v>
      </c>
      <c r="K53">
        <v>0.77</v>
      </c>
      <c r="L53">
        <v>0.79</v>
      </c>
    </row>
    <row r="54" spans="1:13" s="1" customFormat="1" x14ac:dyDescent="0.2">
      <c r="A54" s="1" t="s">
        <v>20</v>
      </c>
      <c r="B54" s="1">
        <f t="shared" ref="B54:C54" si="21">AVERAGE(B51:B53)</f>
        <v>1.0900000000000001</v>
      </c>
      <c r="C54" s="1">
        <f t="shared" si="21"/>
        <v>1.0666666666666667</v>
      </c>
      <c r="D54" s="1">
        <f>AVERAGE(D51:D53)</f>
        <v>1.0833333333333333</v>
      </c>
      <c r="E54" s="1">
        <f t="shared" ref="E54:F54" si="22">AVERAGE(E51:E53)</f>
        <v>1.1200000000000001</v>
      </c>
      <c r="F54" s="1">
        <f t="shared" si="22"/>
        <v>1.0266666666666666</v>
      </c>
      <c r="G54" s="1">
        <f>AVERAGE(G51:G53)</f>
        <v>0.79333333333333333</v>
      </c>
      <c r="H54" s="1">
        <f t="shared" ref="H54:L54" si="23">AVERAGE(H51:H53)</f>
        <v>0.76333333333333331</v>
      </c>
      <c r="I54" s="1">
        <f t="shared" si="23"/>
        <v>0.76000000000000012</v>
      </c>
      <c r="J54" s="1">
        <f t="shared" si="23"/>
        <v>0.77</v>
      </c>
      <c r="K54" s="1">
        <f t="shared" si="23"/>
        <v>0.76333333333333331</v>
      </c>
      <c r="L54" s="1">
        <f t="shared" si="23"/>
        <v>0.79333333333333333</v>
      </c>
    </row>
    <row r="55" spans="1:13" x14ac:dyDescent="0.2">
      <c r="A55" t="s">
        <v>21</v>
      </c>
      <c r="B55">
        <f t="shared" ref="B55:L55" si="24">B50*B54</f>
        <v>3.7496</v>
      </c>
      <c r="C55">
        <f t="shared" si="24"/>
        <v>3.6799999999999997</v>
      </c>
      <c r="D55">
        <f t="shared" si="24"/>
        <v>3.7266666666666666</v>
      </c>
      <c r="E55">
        <f t="shared" si="24"/>
        <v>3.8378666666666676</v>
      </c>
      <c r="F55">
        <f t="shared" si="24"/>
        <v>3.2442666666666669</v>
      </c>
      <c r="G55">
        <f t="shared" si="24"/>
        <v>2.610066666666667</v>
      </c>
      <c r="H55">
        <f t="shared" si="24"/>
        <v>2.4884666666666666</v>
      </c>
      <c r="I55">
        <f t="shared" si="24"/>
        <v>2.4902666666666673</v>
      </c>
      <c r="J55">
        <f t="shared" si="24"/>
        <v>2.5461333333333336</v>
      </c>
      <c r="K55">
        <f t="shared" si="24"/>
        <v>2.7607222222222223</v>
      </c>
      <c r="L55">
        <f t="shared" si="24"/>
        <v>2.7105555555555556</v>
      </c>
    </row>
    <row r="56" spans="1:13" x14ac:dyDescent="0.2">
      <c r="A56" s="1" t="s">
        <v>28</v>
      </c>
    </row>
    <row r="57" spans="1:13" x14ac:dyDescent="0.2">
      <c r="A57" s="1" t="s">
        <v>29</v>
      </c>
    </row>
    <row r="58" spans="1:13" x14ac:dyDescent="0.2">
      <c r="A58" s="1" t="s">
        <v>30</v>
      </c>
    </row>
    <row r="59" spans="1:13" x14ac:dyDescent="0.2">
      <c r="A59" s="1" t="s">
        <v>31</v>
      </c>
    </row>
    <row r="62" spans="1:13" x14ac:dyDescent="0.2">
      <c r="A62" t="s">
        <v>35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5</v>
      </c>
    </row>
    <row r="63" spans="1:13" x14ac:dyDescent="0.2">
      <c r="A63" t="s">
        <v>13</v>
      </c>
      <c r="B63">
        <v>3.1</v>
      </c>
      <c r="C63">
        <v>3.09</v>
      </c>
      <c r="D63">
        <v>3.56</v>
      </c>
      <c r="E63">
        <v>3.31</v>
      </c>
      <c r="F63">
        <v>3.24</v>
      </c>
      <c r="G63">
        <v>3.18</v>
      </c>
      <c r="H63">
        <v>3.29</v>
      </c>
      <c r="I63">
        <v>3.47</v>
      </c>
      <c r="J63">
        <v>3.26</v>
      </c>
      <c r="K63">
        <v>3.18</v>
      </c>
      <c r="L63">
        <v>3.16</v>
      </c>
    </row>
    <row r="64" spans="1:13" x14ac:dyDescent="0.2">
      <c r="A64" t="s">
        <v>14</v>
      </c>
      <c r="B64">
        <v>2.9</v>
      </c>
      <c r="C64">
        <v>3.21</v>
      </c>
      <c r="D64">
        <v>3.58</v>
      </c>
      <c r="E64">
        <v>3.11</v>
      </c>
      <c r="F64">
        <v>3.11</v>
      </c>
      <c r="G64">
        <v>3.24</v>
      </c>
      <c r="H64">
        <v>3.19</v>
      </c>
      <c r="I64">
        <v>3.14</v>
      </c>
      <c r="J64">
        <v>3.24</v>
      </c>
      <c r="K64">
        <v>3.15</v>
      </c>
      <c r="L64">
        <v>3.18</v>
      </c>
    </row>
    <row r="65" spans="1:13" x14ac:dyDescent="0.2">
      <c r="A65" t="s">
        <v>15</v>
      </c>
      <c r="B65">
        <v>3.21</v>
      </c>
      <c r="C65">
        <v>3.33</v>
      </c>
      <c r="D65">
        <v>3.48</v>
      </c>
      <c r="E65">
        <v>3.04</v>
      </c>
      <c r="F65">
        <v>3.14</v>
      </c>
      <c r="G65">
        <v>3.28</v>
      </c>
      <c r="H65">
        <v>3.29</v>
      </c>
      <c r="I65">
        <v>3.19</v>
      </c>
      <c r="J65">
        <v>3.14</v>
      </c>
      <c r="K65">
        <v>3.28</v>
      </c>
      <c r="L65">
        <v>3.25</v>
      </c>
    </row>
    <row r="66" spans="1:13" s="1" customFormat="1" x14ac:dyDescent="0.2">
      <c r="A66" s="1" t="s">
        <v>16</v>
      </c>
      <c r="B66" s="1">
        <f t="shared" ref="B66:L66" si="25">AVERAGE(B63:B65)</f>
        <v>3.0700000000000003</v>
      </c>
      <c r="C66" s="1">
        <f t="shared" si="25"/>
        <v>3.2099999999999995</v>
      </c>
      <c r="D66" s="1">
        <f t="shared" si="25"/>
        <v>3.5400000000000005</v>
      </c>
      <c r="E66" s="1">
        <f t="shared" si="25"/>
        <v>3.1533333333333338</v>
      </c>
      <c r="F66" s="1">
        <f t="shared" si="25"/>
        <v>3.1633333333333336</v>
      </c>
      <c r="G66" s="1">
        <f t="shared" si="25"/>
        <v>3.2333333333333329</v>
      </c>
      <c r="H66" s="1">
        <f t="shared" si="25"/>
        <v>3.2566666666666664</v>
      </c>
      <c r="I66" s="1">
        <f t="shared" si="25"/>
        <v>3.2666666666666671</v>
      </c>
      <c r="J66" s="1">
        <f t="shared" si="25"/>
        <v>3.2133333333333334</v>
      </c>
      <c r="K66" s="1">
        <f t="shared" si="25"/>
        <v>3.2033333333333331</v>
      </c>
      <c r="L66" s="1">
        <f t="shared" si="25"/>
        <v>3.1966666666666668</v>
      </c>
    </row>
    <row r="67" spans="1:13" x14ac:dyDescent="0.2">
      <c r="A67" t="s">
        <v>17</v>
      </c>
      <c r="B67">
        <v>0.74</v>
      </c>
      <c r="C67">
        <v>0.74</v>
      </c>
      <c r="D67">
        <v>0.75</v>
      </c>
      <c r="E67">
        <v>0.76</v>
      </c>
      <c r="F67">
        <v>0.77</v>
      </c>
      <c r="G67">
        <v>0.78</v>
      </c>
      <c r="H67">
        <v>0.8</v>
      </c>
      <c r="I67">
        <v>0.83</v>
      </c>
      <c r="J67">
        <v>0.83</v>
      </c>
      <c r="K67">
        <v>0.83</v>
      </c>
      <c r="L67">
        <v>0.83</v>
      </c>
    </row>
    <row r="68" spans="1:13" x14ac:dyDescent="0.2">
      <c r="A68" t="s">
        <v>18</v>
      </c>
      <c r="B68">
        <v>0.81</v>
      </c>
      <c r="C68">
        <v>0.75</v>
      </c>
      <c r="D68">
        <v>0.73</v>
      </c>
      <c r="E68">
        <v>0.77</v>
      </c>
      <c r="F68">
        <v>0.77</v>
      </c>
      <c r="G68">
        <v>0.81</v>
      </c>
      <c r="H68">
        <v>0.8</v>
      </c>
      <c r="I68">
        <v>0.81</v>
      </c>
      <c r="J68">
        <v>0.84</v>
      </c>
      <c r="K68">
        <v>0.85</v>
      </c>
      <c r="L68">
        <v>0.82</v>
      </c>
    </row>
    <row r="69" spans="1:13" x14ac:dyDescent="0.2">
      <c r="A69" t="s">
        <v>19</v>
      </c>
      <c r="B69">
        <v>0.79</v>
      </c>
      <c r="C69">
        <v>0.79</v>
      </c>
      <c r="D69">
        <v>0.74</v>
      </c>
      <c r="E69">
        <v>0.75</v>
      </c>
      <c r="F69">
        <v>0.73</v>
      </c>
      <c r="G69">
        <v>0.78</v>
      </c>
      <c r="H69">
        <v>0.8</v>
      </c>
      <c r="I69">
        <v>0.81</v>
      </c>
      <c r="J69">
        <v>0.81</v>
      </c>
      <c r="K69">
        <v>0.85</v>
      </c>
      <c r="L69">
        <v>0.83</v>
      </c>
    </row>
    <row r="70" spans="1:13" s="1" customFormat="1" x14ac:dyDescent="0.2">
      <c r="A70" s="1" t="s">
        <v>20</v>
      </c>
      <c r="B70" s="1">
        <f t="shared" ref="B70:C70" si="26">AVERAGE(B67:B69)</f>
        <v>0.77999999999999992</v>
      </c>
      <c r="C70" s="1">
        <f t="shared" si="26"/>
        <v>0.76000000000000012</v>
      </c>
      <c r="D70" s="1">
        <f>AVERAGE(D67:D69)</f>
        <v>0.73999999999999988</v>
      </c>
      <c r="E70" s="1">
        <f t="shared" ref="E70:F70" si="27">AVERAGE(E67:E69)</f>
        <v>0.76000000000000012</v>
      </c>
      <c r="F70" s="1">
        <f t="shared" si="27"/>
        <v>0.75666666666666671</v>
      </c>
      <c r="G70" s="1">
        <f>AVERAGE(G67:G69)</f>
        <v>0.79</v>
      </c>
      <c r="H70" s="1">
        <f t="shared" ref="H70:L70" si="28">AVERAGE(H67:H69)</f>
        <v>0.80000000000000016</v>
      </c>
      <c r="I70" s="1">
        <f t="shared" si="28"/>
        <v>0.81666666666666676</v>
      </c>
      <c r="J70" s="1">
        <f t="shared" si="28"/>
        <v>0.82666666666666666</v>
      </c>
      <c r="K70" s="1">
        <f t="shared" si="28"/>
        <v>0.84333333333333327</v>
      </c>
      <c r="L70" s="1">
        <f t="shared" si="28"/>
        <v>0.82666666666666666</v>
      </c>
    </row>
    <row r="71" spans="1:13" x14ac:dyDescent="0.2">
      <c r="A71" t="s">
        <v>21</v>
      </c>
      <c r="B71">
        <f t="shared" ref="B71:L71" si="29">B66*B70</f>
        <v>2.3946000000000001</v>
      </c>
      <c r="C71">
        <f t="shared" si="29"/>
        <v>2.4396</v>
      </c>
      <c r="D71">
        <f t="shared" si="29"/>
        <v>2.6196000000000002</v>
      </c>
      <c r="E71">
        <f t="shared" si="29"/>
        <v>2.3965333333333341</v>
      </c>
      <c r="F71">
        <f t="shared" si="29"/>
        <v>2.393588888888889</v>
      </c>
      <c r="G71">
        <f t="shared" si="29"/>
        <v>2.5543333333333331</v>
      </c>
      <c r="H71">
        <f t="shared" si="29"/>
        <v>2.6053333333333337</v>
      </c>
      <c r="I71">
        <f t="shared" si="29"/>
        <v>2.6677777777777782</v>
      </c>
      <c r="J71">
        <f t="shared" si="29"/>
        <v>2.6563555555555554</v>
      </c>
      <c r="K71">
        <f t="shared" si="29"/>
        <v>2.7014777777777774</v>
      </c>
      <c r="L71">
        <f t="shared" si="29"/>
        <v>2.6425777777777779</v>
      </c>
    </row>
    <row r="72" spans="1:13" x14ac:dyDescent="0.2">
      <c r="A72" s="1" t="s">
        <v>28</v>
      </c>
    </row>
    <row r="73" spans="1:13" x14ac:dyDescent="0.2">
      <c r="A73" s="1" t="s">
        <v>29</v>
      </c>
    </row>
    <row r="74" spans="1:13" x14ac:dyDescent="0.2">
      <c r="A74" s="1" t="s">
        <v>30</v>
      </c>
    </row>
    <row r="75" spans="1:13" x14ac:dyDescent="0.2">
      <c r="A75" s="1" t="s">
        <v>31</v>
      </c>
    </row>
    <row r="78" spans="1:13" x14ac:dyDescent="0.2">
      <c r="A78" t="s">
        <v>36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5</v>
      </c>
    </row>
    <row r="79" spans="1:13" x14ac:dyDescent="0.2">
      <c r="A79" t="s">
        <v>13</v>
      </c>
      <c r="B79">
        <v>3.17</v>
      </c>
      <c r="C79">
        <v>3.56</v>
      </c>
      <c r="D79">
        <v>3.4</v>
      </c>
      <c r="E79">
        <v>2.76</v>
      </c>
      <c r="F79">
        <v>3.34</v>
      </c>
    </row>
    <row r="80" spans="1:13" x14ac:dyDescent="0.2">
      <c r="A80" t="s">
        <v>14</v>
      </c>
      <c r="B80">
        <v>3.11</v>
      </c>
      <c r="C80">
        <v>3.44</v>
      </c>
      <c r="D80">
        <v>3.46</v>
      </c>
      <c r="E80">
        <v>3.07</v>
      </c>
      <c r="F80">
        <v>3.37</v>
      </c>
    </row>
    <row r="81" spans="1:12" x14ac:dyDescent="0.2">
      <c r="A81" t="s">
        <v>15</v>
      </c>
      <c r="B81">
        <v>3.15</v>
      </c>
      <c r="C81">
        <v>3.29</v>
      </c>
      <c r="D81">
        <v>3.41</v>
      </c>
      <c r="E81">
        <v>3.04</v>
      </c>
      <c r="F81">
        <v>3.52</v>
      </c>
    </row>
    <row r="82" spans="1:12" s="1" customFormat="1" x14ac:dyDescent="0.2">
      <c r="A82" s="1" t="s">
        <v>16</v>
      </c>
      <c r="B82" s="1">
        <f t="shared" ref="B82:L82" si="30">AVERAGE(B79:B81)</f>
        <v>3.1433333333333331</v>
      </c>
      <c r="C82" s="1">
        <f t="shared" si="30"/>
        <v>3.4299999999999997</v>
      </c>
      <c r="D82" s="1">
        <f t="shared" si="30"/>
        <v>3.4233333333333333</v>
      </c>
      <c r="E82" s="1">
        <f t="shared" si="30"/>
        <v>2.956666666666667</v>
      </c>
      <c r="F82" s="1">
        <f t="shared" si="30"/>
        <v>3.41</v>
      </c>
      <c r="G82" s="1" t="e">
        <f t="shared" si="30"/>
        <v>#DIV/0!</v>
      </c>
      <c r="H82" s="1" t="e">
        <f t="shared" si="30"/>
        <v>#DIV/0!</v>
      </c>
      <c r="I82" s="1" t="e">
        <f t="shared" si="30"/>
        <v>#DIV/0!</v>
      </c>
      <c r="J82" s="1" t="e">
        <f t="shared" si="30"/>
        <v>#DIV/0!</v>
      </c>
      <c r="K82" s="1" t="e">
        <f t="shared" si="30"/>
        <v>#DIV/0!</v>
      </c>
      <c r="L82" s="1" t="e">
        <f t="shared" si="30"/>
        <v>#DIV/0!</v>
      </c>
    </row>
    <row r="83" spans="1:12" x14ac:dyDescent="0.2">
      <c r="A83" t="s">
        <v>17</v>
      </c>
      <c r="B83">
        <v>1</v>
      </c>
      <c r="C83">
        <v>0.91</v>
      </c>
      <c r="D83">
        <v>1.05</v>
      </c>
      <c r="E83">
        <v>0.95</v>
      </c>
      <c r="F83">
        <v>1.05</v>
      </c>
    </row>
    <row r="84" spans="1:12" x14ac:dyDescent="0.2">
      <c r="A84" t="s">
        <v>18</v>
      </c>
      <c r="B84">
        <v>0.99</v>
      </c>
      <c r="C84">
        <v>0.9</v>
      </c>
      <c r="D84">
        <v>1.04</v>
      </c>
      <c r="E84">
        <v>0.97</v>
      </c>
      <c r="F84">
        <v>1.02</v>
      </c>
    </row>
    <row r="85" spans="1:12" x14ac:dyDescent="0.2">
      <c r="A85" t="s">
        <v>19</v>
      </c>
      <c r="B85">
        <v>1</v>
      </c>
      <c r="C85">
        <v>0.89</v>
      </c>
      <c r="D85">
        <v>1.06</v>
      </c>
      <c r="E85">
        <v>0.98</v>
      </c>
      <c r="F85">
        <v>1.04</v>
      </c>
    </row>
    <row r="86" spans="1:12" s="1" customFormat="1" x14ac:dyDescent="0.2">
      <c r="A86" s="1" t="s">
        <v>20</v>
      </c>
      <c r="B86" s="1">
        <f t="shared" ref="B86:C86" si="31">AVERAGE(B83:B85)</f>
        <v>0.9966666666666667</v>
      </c>
      <c r="C86" s="1">
        <f t="shared" si="31"/>
        <v>0.9</v>
      </c>
      <c r="D86" s="1">
        <f>AVERAGE(D83:D85)</f>
        <v>1.05</v>
      </c>
      <c r="E86" s="1">
        <f t="shared" ref="E86:F86" si="32">AVERAGE(E83:E85)</f>
        <v>0.96666666666666667</v>
      </c>
      <c r="F86" s="1">
        <f t="shared" si="32"/>
        <v>1.0366666666666668</v>
      </c>
      <c r="G86" s="1" t="e">
        <f>AVERAGE(G83:G85)</f>
        <v>#DIV/0!</v>
      </c>
      <c r="H86" s="1" t="e">
        <f t="shared" ref="H86:L86" si="33">AVERAGE(H83:H85)</f>
        <v>#DIV/0!</v>
      </c>
      <c r="I86" s="1" t="e">
        <f t="shared" si="33"/>
        <v>#DIV/0!</v>
      </c>
      <c r="J86" s="1" t="e">
        <f t="shared" si="33"/>
        <v>#DIV/0!</v>
      </c>
      <c r="K86" s="1" t="e">
        <f t="shared" si="33"/>
        <v>#DIV/0!</v>
      </c>
      <c r="L86" s="1" t="e">
        <f t="shared" si="33"/>
        <v>#DIV/0!</v>
      </c>
    </row>
    <row r="87" spans="1:12" x14ac:dyDescent="0.2">
      <c r="A87" t="s">
        <v>21</v>
      </c>
      <c r="B87">
        <f t="shared" ref="B87:L87" si="34">B82*B86</f>
        <v>3.1328555555555555</v>
      </c>
      <c r="C87">
        <f t="shared" si="34"/>
        <v>3.0869999999999997</v>
      </c>
      <c r="D87">
        <f t="shared" si="34"/>
        <v>3.5945</v>
      </c>
      <c r="E87">
        <f t="shared" si="34"/>
        <v>2.8581111111111115</v>
      </c>
      <c r="F87">
        <f t="shared" si="34"/>
        <v>3.5350333333333341</v>
      </c>
      <c r="G87" t="e">
        <f t="shared" si="34"/>
        <v>#DIV/0!</v>
      </c>
      <c r="H87" t="e">
        <f t="shared" si="34"/>
        <v>#DIV/0!</v>
      </c>
      <c r="I87" t="e">
        <f t="shared" si="34"/>
        <v>#DIV/0!</v>
      </c>
      <c r="J87" t="e">
        <f t="shared" si="34"/>
        <v>#DIV/0!</v>
      </c>
      <c r="K87" t="e">
        <f t="shared" si="34"/>
        <v>#DIV/0!</v>
      </c>
      <c r="L87" t="e">
        <f t="shared" si="34"/>
        <v>#DIV/0!</v>
      </c>
    </row>
    <row r="88" spans="1:12" x14ac:dyDescent="0.2">
      <c r="A88" s="1" t="s">
        <v>28</v>
      </c>
    </row>
    <row r="89" spans="1:12" x14ac:dyDescent="0.2">
      <c r="A89" s="1" t="s">
        <v>29</v>
      </c>
    </row>
    <row r="90" spans="1:12" x14ac:dyDescent="0.2">
      <c r="A90" s="1" t="s">
        <v>30</v>
      </c>
    </row>
    <row r="91" spans="1:12" x14ac:dyDescent="0.2">
      <c r="A91" s="1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Haiying Li</dc:creator>
  <cp:lastModifiedBy>Haiying Li</cp:lastModifiedBy>
  <dcterms:created xsi:type="dcterms:W3CDTF">2025-11-12T16:04:55Z</dcterms:created>
  <dcterms:modified xsi:type="dcterms:W3CDTF">2025-12-05T22:50:14Z</dcterms:modified>
</cp:coreProperties>
</file>